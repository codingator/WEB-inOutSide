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ev\web_inOutSide\"/>
    </mc:Choice>
  </mc:AlternateContent>
  <xr:revisionPtr revIDLastSave="0" documentId="13_ncr:1_{D5FBD64C-4CE0-49FE-AFE4-E3184AAC19E0}" xr6:coauthVersionLast="45" xr6:coauthVersionMax="45" xr10:uidLastSave="{00000000-0000-0000-0000-000000000000}"/>
  <bookViews>
    <workbookView xWindow="-110" yWindow="-110" windowWidth="25820" windowHeight="15620" xr2:uid="{0954A1B6-E1A0-46E2-B64A-7B5107F9F737}"/>
  </bookViews>
  <sheets>
    <sheet name="사용 중" sheetId="1" r:id="rId1"/>
    <sheet name="Del-Upload_Log" sheetId="2" r:id="rId2"/>
  </sheets>
  <definedNames>
    <definedName name="등록리스트">'사용 중'!$A$1:$A$26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4" i="1" l="1"/>
  <c r="A55" i="1"/>
  <c r="A56" i="1"/>
  <c r="A57" i="1"/>
  <c r="A58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34" i="1"/>
  <c r="A1" i="1"/>
  <c r="E35" i="1" l="1"/>
  <c r="D35" i="1"/>
  <c r="F35" i="1"/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</calcChain>
</file>

<file path=xl/sharedStrings.xml><?xml version="1.0" encoding="utf-8"?>
<sst xmlns="http://schemas.openxmlformats.org/spreadsheetml/2006/main" count="101" uniqueCount="88">
  <si>
    <t>인벤 게시글</t>
    <phoneticPr fontId="1" type="noConversion"/>
  </si>
  <si>
    <t>심콩</t>
    <phoneticPr fontId="1" type="noConversion"/>
  </si>
  <si>
    <t>연애경험 있음</t>
    <phoneticPr fontId="1" type="noConversion"/>
  </si>
  <si>
    <t>최근 한달 간 친구/지인과 시간 약속 5회 이상</t>
    <phoneticPr fontId="1" type="noConversion"/>
  </si>
  <si>
    <t>성 경험 있음(업소 X)</t>
    <phoneticPr fontId="1" type="noConversion"/>
  </si>
  <si>
    <t>최근 3개월 간 디시/일베 및 유사 커뮤니티 활동경험 X</t>
    <phoneticPr fontId="1" type="noConversion"/>
  </si>
  <si>
    <t>대학 시절 봄 대동제 친구/지인과 같이 가봄</t>
    <phoneticPr fontId="1" type="noConversion"/>
  </si>
  <si>
    <t>일주일에 2번 이상 만나는 이성 있음</t>
    <phoneticPr fontId="1" type="noConversion"/>
  </si>
  <si>
    <t>최근 한달 간 친구/지인과 전화 통화 1시간 이상</t>
    <phoneticPr fontId="1" type="noConversion"/>
  </si>
  <si>
    <t>최근 일주일 간 이성 지인과 연락해봄</t>
    <phoneticPr fontId="1" type="noConversion"/>
  </si>
  <si>
    <t>개인블로그/트위터 팔로워보다 현실 지인 수 많음</t>
    <phoneticPr fontId="1" type="noConversion"/>
  </si>
  <si>
    <t>최근 한달 간 친구/지인과의 만남을 7일 연속 가져봄</t>
    <phoneticPr fontId="1" type="noConversion"/>
  </si>
  <si>
    <t>최근 1년 간 친구/지인과 1박 2일 이상 여행 가 봄</t>
    <phoneticPr fontId="1" type="noConversion"/>
  </si>
  <si>
    <t>최근 3개월 간 친구/지인과 노래방 3회 이상</t>
    <phoneticPr fontId="1" type="noConversion"/>
  </si>
  <si>
    <t>대학시절 동아리 경험 있음</t>
    <phoneticPr fontId="1" type="noConversion"/>
  </si>
  <si>
    <t>이성과 술자리 가져봄</t>
    <phoneticPr fontId="1" type="noConversion"/>
  </si>
  <si>
    <t>친구/지인과 어벤져스: 엔드게임 봄(예정 포함)</t>
    <phoneticPr fontId="1" type="noConversion"/>
  </si>
  <si>
    <t>폰에 이성 번호 5개 이상</t>
    <phoneticPr fontId="1" type="noConversion"/>
  </si>
  <si>
    <t>이성에게 고백 받아봄</t>
    <phoneticPr fontId="1" type="noConversion"/>
  </si>
  <si>
    <t>카톡 친구 200명 이상</t>
    <phoneticPr fontId="1" type="noConversion"/>
  </si>
  <si>
    <t>최근 3개월 간 친구/지인과 술자리 5회 이상</t>
    <phoneticPr fontId="1" type="noConversion"/>
  </si>
  <si>
    <t>최근 일주일 간 메시지온 카톡방 20개 이상(가족, 친척, 광고 제외)</t>
    <phoneticPr fontId="1" type="noConversion"/>
  </si>
  <si>
    <t>소개팅 경험 있음</t>
    <phoneticPr fontId="1" type="noConversion"/>
  </si>
  <si>
    <t>직전 생일에 친구/지인 5명 이상에게 생일선물 받음</t>
    <phoneticPr fontId="1" type="noConversion"/>
  </si>
  <si>
    <t>연락하는 이성 사친 있어본 적 있음</t>
    <phoneticPr fontId="1" type="noConversion"/>
  </si>
  <si>
    <t>최근 한달 간 친구/지인과 전화 통화 30회 이상</t>
    <phoneticPr fontId="1" type="noConversion"/>
  </si>
  <si>
    <t>최근 3개월 간 친구/지인과 클럽 방문 2회 이상</t>
    <phoneticPr fontId="1" type="noConversion"/>
  </si>
  <si>
    <t>카카오톡 친구가 150명 이상이다</t>
    <phoneticPr fontId="1" type="noConversion"/>
  </si>
  <si>
    <t>스티커 사진을 2번 이상 찍어봤다</t>
    <phoneticPr fontId="1" type="noConversion"/>
  </si>
  <si>
    <t>이성친구를 포함한 친구들에게 섹드립을 친 적이 있다</t>
    <phoneticPr fontId="1" type="noConversion"/>
  </si>
  <si>
    <t>한 달에 한 번 이상 친구들과 영화를 보러 간다</t>
    <phoneticPr fontId="1" type="noConversion"/>
  </si>
  <si>
    <t>카톡에 단톡방이 없다</t>
    <phoneticPr fontId="1" type="noConversion"/>
  </si>
  <si>
    <t>한 달에 술 약속, 밥 약속 2회 이상 있다</t>
    <phoneticPr fontId="1" type="noConversion"/>
  </si>
  <si>
    <t>데이터 사용량보다 통화량이 많다</t>
    <phoneticPr fontId="1" type="noConversion"/>
  </si>
  <si>
    <t>같이 밤 새면서 노는 친구가 있다</t>
    <phoneticPr fontId="1" type="noConversion"/>
  </si>
  <si>
    <t>단톡에서 말해도 반응이 없을까봐 썼다 지운 적이 많다</t>
  </si>
  <si>
    <t>워터파크를 가본 적 있다</t>
  </si>
  <si>
    <t>축제를 여러사람과 가본 적 있다</t>
  </si>
  <si>
    <t>단톡에서 본인이 말 안해도 단톡이 잘 돌아간다</t>
  </si>
  <si>
    <t>정말 친한 친구가 3명 이상 있다</t>
  </si>
  <si>
    <t>하루에 한번 쯤은 친구에게 전화가 걸려온다</t>
  </si>
  <si>
    <t>친구가 집에와서 자고 간 적이 있다</t>
  </si>
  <si>
    <t>옷장에 옷의 스타일이 4종류 이상이다</t>
  </si>
  <si>
    <t>빼빼로데이, 화이트데이, 발렌타인데이에 받아본 적이 없다</t>
  </si>
  <si>
    <t>5일 이상 집에서 안나가도 크게 불편한 것이 없다</t>
  </si>
  <si>
    <t>이성이 포함된 술자리를 연 5회 이상 한다</t>
  </si>
  <si>
    <t>친한 이성(형,오빠,동생)가 10명 이상 있다</t>
  </si>
  <si>
    <t>자기소개서 특기에 쓸 말이 딱히 없다</t>
    <phoneticPr fontId="1" type="noConversion"/>
  </si>
  <si>
    <t>인싸들이 즐겁게 노는것을 보고 내가 그래도 쟤들보다는 낫다고 생각한 적이 있다</t>
  </si>
  <si>
    <t>클럽에 가본 적 있다</t>
  </si>
  <si>
    <t>데이트를 해본 적 있다</t>
  </si>
  <si>
    <t>모임에 안나가도 연락이 오지않는다</t>
  </si>
  <si>
    <t>길거리에서 번호를 따여봤다</t>
  </si>
  <si>
    <t>친구들 여럿이서 연 1회 이상 여행을 간다</t>
  </si>
  <si>
    <t>누군가 먼저 '뭐해?'라고 메시지가 온 적이 많다</t>
    <phoneticPr fontId="1" type="noConversion"/>
  </si>
  <si>
    <t>한번 이상 연애를 해봤다</t>
    <phoneticPr fontId="1" type="noConversion"/>
  </si>
  <si>
    <t>플레이리스트[연플리4 티저]</t>
    <phoneticPr fontId="1" type="noConversion"/>
  </si>
  <si>
    <t>개파 종파 올참</t>
    <phoneticPr fontId="1" type="noConversion"/>
  </si>
  <si>
    <t>아는 술게임 5가지 이상</t>
    <phoneticPr fontId="1" type="noConversion"/>
  </si>
  <si>
    <t>대리출석 해 줄 친구 있음</t>
    <phoneticPr fontId="1" type="noConversion"/>
  </si>
  <si>
    <t>미팅 나가서 귓속말 게임해 봄</t>
    <phoneticPr fontId="1" type="noConversion"/>
  </si>
  <si>
    <t>학식에서 혼밥한 적 없음</t>
    <phoneticPr fontId="1" type="noConversion"/>
  </si>
  <si>
    <t>시험 공부는 친구들이랑 학교에서</t>
    <phoneticPr fontId="1" type="noConversion"/>
  </si>
  <si>
    <t>시험 기간에 술 모임 가져 봄</t>
    <phoneticPr fontId="1" type="noConversion"/>
  </si>
  <si>
    <t>CC 해 봄</t>
    <phoneticPr fontId="1" type="noConversion"/>
  </si>
  <si>
    <t>같은 동아리 CC 해 봄</t>
    <phoneticPr fontId="1" type="noConversion"/>
  </si>
  <si>
    <t>같은 동아리 CC 하다가 헤어져 봄</t>
    <phoneticPr fontId="1" type="noConversion"/>
  </si>
  <si>
    <t>CC하다가 헤어지고 동아리 계속 나가다가 구남친/구여친 만나서 인사해 봄</t>
    <phoneticPr fontId="1" type="noConversion"/>
  </si>
  <si>
    <t>모범생 같이 생긴 남자'란 말을 들으면 떠오르는 것은?
[공부 잘할 것 같은 남자, 왜소하고 짱박혀서 존재감 없는 학생, 그런 모습의 연예인]</t>
    <phoneticPr fontId="1" type="noConversion"/>
  </si>
  <si>
    <t>출처</t>
    <phoneticPr fontId="1" type="noConversion"/>
  </si>
  <si>
    <t>요약</t>
  </si>
  <si>
    <t>/// 데이터 시트 값은 출처에서 가져온 후 수정 가능성 있음</t>
    <phoneticPr fontId="1" type="noConversion"/>
  </si>
  <si>
    <t>2020-05-08 오전 1:49:02 : 데이터 리스트 삭제</t>
  </si>
  <si>
    <t>2020-05-08 오전 1:49:06 : 데이터 리스트 삭제</t>
  </si>
  <si>
    <t>Log[Delete/Upload]</t>
    <phoneticPr fontId="1" type="noConversion"/>
  </si>
  <si>
    <t>2020-05-08 오전 1:49:47 : 데이터 리스트 삭제</t>
  </si>
  <si>
    <t>개파 종파 올참</t>
  </si>
  <si>
    <t>아는 술게임 5가지 이상</t>
  </si>
  <si>
    <t>대리출석 해 줄 친구 있음</t>
  </si>
  <si>
    <t>미팅 나가서 귓속말 게임해 봄</t>
  </si>
  <si>
    <t>학식에서 혼밥한 적 없음</t>
  </si>
  <si>
    <t>시험 공부는 친구들이랑 학교에서</t>
  </si>
  <si>
    <t>시험 기간에 술 모임 가져 봄</t>
  </si>
  <si>
    <t>한 달에 술 약속, 밥 약속 2회 이상 있다</t>
  </si>
  <si>
    <t>같이 밤 새면서 노는 친구가 있다</t>
  </si>
  <si>
    <t>누군가 먼저 '뭐해?'라고 메시지가 온 적이 많다</t>
  </si>
  <si>
    <t>한번 이상 연애를 해봤다</t>
  </si>
  <si>
    <t>자기소개서 특기에 쓸 말이 딱히 없다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</si>
</sst>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표준" xfId="0" builtinId="0"/>
  </cellStyles>
  <dxfs count="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/>
      </font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812800</xdr:colOff>
          <xdr:row>26</xdr:row>
          <xdr:rowOff>76200</xdr:rowOff>
        </xdr:from>
        <xdr:to>
          <xdr:col>0</xdr:col>
          <xdr:colOff>1746250</xdr:colOff>
          <xdr:row>28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서버에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2317750</xdr:colOff>
          <xdr:row>26</xdr:row>
          <xdr:rowOff>76200</xdr:rowOff>
        </xdr:from>
        <xdr:to>
          <xdr:col>0</xdr:col>
          <xdr:colOff>3251200</xdr:colOff>
          <xdr:row>28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 삭제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FD2A00-85D0-49BE-93CB-7FAFCC903092}" name="데이터_시트" displayName="데이터_시트" ref="C1:F35" totalsRowCount="1">
  <autoFilter ref="C1:F34" xr:uid="{DBB8A6FE-9A0C-4570-A27C-F4831BA4F3D5}">
    <filterColumn colId="0" hiddenButton="1"/>
    <filterColumn colId="1" hiddenButton="1"/>
    <filterColumn colId="2" hiddenButton="1"/>
    <filterColumn colId="3" hiddenButton="1"/>
  </autoFilter>
  <tableColumns count="4">
    <tableColumn id="1" xr3:uid="{A7F873E2-A42D-4505-B9AC-94E5E1E86172}" name="출처" totalsRowLabel="요약" dataDxfId="1" totalsRowDxfId="0">
      <calculatedColumnFormula>ROW(D2)-1</calculatedColumnFormula>
    </tableColumn>
    <tableColumn id="2" xr3:uid="{58606B9D-DB57-42E8-AC1A-F76D4E26217D}" name="인벤 게시글" totalsRowFunction="count"/>
    <tableColumn id="3" xr3:uid="{407D056A-01F5-4659-B020-4D9A7EF3DD35}" name="심콩" totalsRowFunction="count"/>
    <tableColumn id="4" xr3:uid="{8D966A97-A7A4-44A5-A5A1-2DDEB8AD713A}" name="플레이리스트[연플리4 티저]" totalsRowFunction="count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58EAC-BB1E-4F40-982C-721566CA2B6B}">
  <sheetPr codeName="Sheet1"/>
  <dimension ref="A1:F58"/>
  <sheetViews>
    <sheetView tabSelected="1" topLeftCell="A25" workbookViewId="0">
      <pane xSplit="1" topLeftCell="B1" activePane="topRight" state="frozen"/>
      <selection pane="topRight" activeCell="A58" sqref="A34:A58"/>
    </sheetView>
  </sheetViews>
  <sheetFormatPr defaultRowHeight="17" x14ac:dyDescent="0.45"/>
  <cols>
    <col min="1" max="1" width="58.5" bestFit="1" customWidth="1"/>
    <col min="3" max="3" width="6.25" style="2" customWidth="1"/>
    <col min="4" max="4" width="58.5" bestFit="1" customWidth="1"/>
    <col min="5" max="5" width="74.25" bestFit="1" customWidth="1"/>
    <col min="6" max="6" width="66.58203125" bestFit="1" customWidth="1"/>
  </cols>
  <sheetData>
    <row r="1" spans="1:6" x14ac:dyDescent="0.45">
      <c r="A1" s="5" t="str">
        <f>_xlfn.CONCAT("사용중인 데이터", "(", COUNTA($A$2:$A$26), "/25)")</f>
        <v>사용중인 데이터(25/25)</v>
      </c>
      <c r="C1" s="2" t="s">
        <v>69</v>
      </c>
      <c r="D1" t="s">
        <v>0</v>
      </c>
      <c r="E1" t="s">
        <v>1</v>
      </c>
      <c r="F1" t="s">
        <v>56</v>
      </c>
    </row>
    <row r="2" spans="1:6" x14ac:dyDescent="0.45">
      <c r="A2" s="3" t="s">
        <v>44</v>
      </c>
      <c r="C2" s="2">
        <f t="shared" ref="C2:C34" si="0">ROW(D2)-1</f>
        <v>1</v>
      </c>
      <c r="D2" t="s">
        <v>2</v>
      </c>
      <c r="E2" t="s">
        <v>27</v>
      </c>
      <c r="F2" t="s">
        <v>57</v>
      </c>
    </row>
    <row r="3" spans="1:6" x14ac:dyDescent="0.45">
      <c r="A3" s="3" t="s">
        <v>84</v>
      </c>
      <c r="C3" s="2">
        <f t="shared" si="0"/>
        <v>2</v>
      </c>
      <c r="D3" t="s">
        <v>3</v>
      </c>
      <c r="E3" t="s">
        <v>28</v>
      </c>
      <c r="F3" t="s">
        <v>58</v>
      </c>
    </row>
    <row r="4" spans="1:6" x14ac:dyDescent="0.45">
      <c r="A4" s="3" t="s">
        <v>76</v>
      </c>
      <c r="C4" s="2">
        <f t="shared" si="0"/>
        <v>3</v>
      </c>
      <c r="D4" t="s">
        <v>4</v>
      </c>
      <c r="E4" t="s">
        <v>29</v>
      </c>
      <c r="F4" t="s">
        <v>59</v>
      </c>
    </row>
    <row r="5" spans="1:6" x14ac:dyDescent="0.45">
      <c r="A5" s="3" t="s">
        <v>85</v>
      </c>
      <c r="C5" s="2">
        <f t="shared" si="0"/>
        <v>4</v>
      </c>
      <c r="D5" t="s">
        <v>5</v>
      </c>
      <c r="E5" t="s">
        <v>30</v>
      </c>
      <c r="F5" t="s">
        <v>60</v>
      </c>
    </row>
    <row r="6" spans="1:6" ht="34" x14ac:dyDescent="0.45">
      <c r="A6" s="3" t="s">
        <v>35</v>
      </c>
      <c r="C6" s="2">
        <f t="shared" si="0"/>
        <v>5</v>
      </c>
      <c r="D6" t="s">
        <v>6</v>
      </c>
      <c r="E6" s="1" t="s">
        <v>68</v>
      </c>
      <c r="F6" t="s">
        <v>61</v>
      </c>
    </row>
    <row r="7" spans="1:6" x14ac:dyDescent="0.45">
      <c r="A7" s="3" t="s">
        <v>38</v>
      </c>
      <c r="C7" s="2">
        <f t="shared" si="0"/>
        <v>6</v>
      </c>
      <c r="D7" t="s">
        <v>7</v>
      </c>
      <c r="E7" t="s">
        <v>31</v>
      </c>
      <c r="F7" t="s">
        <v>62</v>
      </c>
    </row>
    <row r="8" spans="1:6" x14ac:dyDescent="0.45">
      <c r="A8" s="3" t="s">
        <v>78</v>
      </c>
      <c r="C8" s="2">
        <f t="shared" si="0"/>
        <v>7</v>
      </c>
      <c r="D8" t="s">
        <v>8</v>
      </c>
      <c r="F8" t="s">
        <v>63</v>
      </c>
    </row>
    <row r="9" spans="1:6" x14ac:dyDescent="0.45">
      <c r="A9" s="3" t="s">
        <v>79</v>
      </c>
      <c r="C9" s="2">
        <f t="shared" si="0"/>
        <v>8</v>
      </c>
      <c r="D9" t="s">
        <v>9</v>
      </c>
      <c r="E9" t="s">
        <v>32</v>
      </c>
      <c r="F9" t="s">
        <v>64</v>
      </c>
    </row>
    <row r="10" spans="1:6" x14ac:dyDescent="0.45">
      <c r="A10" s="3" t="s">
        <v>43</v>
      </c>
      <c r="C10" s="2">
        <f t="shared" si="0"/>
        <v>9</v>
      </c>
      <c r="D10" t="s">
        <v>10</v>
      </c>
      <c r="E10" t="s">
        <v>33</v>
      </c>
      <c r="F10" t="s">
        <v>65</v>
      </c>
    </row>
    <row r="11" spans="1:6" x14ac:dyDescent="0.45">
      <c r="A11" s="3" t="s">
        <v>81</v>
      </c>
      <c r="C11" s="2">
        <f t="shared" si="0"/>
        <v>10</v>
      </c>
      <c r="D11" t="s">
        <v>11</v>
      </c>
      <c r="F11" t="s">
        <v>66</v>
      </c>
    </row>
    <row r="12" spans="1:6" x14ac:dyDescent="0.45">
      <c r="A12" s="3" t="s">
        <v>82</v>
      </c>
      <c r="C12" s="2">
        <f t="shared" si="0"/>
        <v>11</v>
      </c>
      <c r="D12" t="s">
        <v>12</v>
      </c>
      <c r="E12" t="s">
        <v>34</v>
      </c>
      <c r="F12" t="s">
        <v>67</v>
      </c>
    </row>
    <row r="13" spans="1:6" x14ac:dyDescent="0.45">
      <c r="A13" s="3" t="s">
        <v>77</v>
      </c>
      <c r="C13" s="2">
        <f t="shared" si="0"/>
        <v>12</v>
      </c>
      <c r="D13" t="s">
        <v>13</v>
      </c>
      <c r="E13" t="s">
        <v>35</v>
      </c>
    </row>
    <row r="14" spans="1:6" x14ac:dyDescent="0.45">
      <c r="A14" s="3" t="s">
        <v>42</v>
      </c>
      <c r="C14" s="2">
        <f t="shared" si="0"/>
        <v>13</v>
      </c>
      <c r="D14" t="s">
        <v>14</v>
      </c>
      <c r="E14" t="s">
        <v>36</v>
      </c>
    </row>
    <row r="15" spans="1:6" x14ac:dyDescent="0.45">
      <c r="A15" s="3" t="s">
        <v>36</v>
      </c>
      <c r="C15" s="2">
        <f t="shared" si="0"/>
        <v>14</v>
      </c>
      <c r="D15" t="s">
        <v>15</v>
      </c>
    </row>
    <row r="16" spans="1:6" x14ac:dyDescent="0.45">
      <c r="A16" s="3" t="s">
        <v>45</v>
      </c>
      <c r="C16" s="2">
        <f t="shared" si="0"/>
        <v>15</v>
      </c>
      <c r="D16" t="s">
        <v>16</v>
      </c>
      <c r="E16" t="s">
        <v>54</v>
      </c>
    </row>
    <row r="17" spans="1:5" x14ac:dyDescent="0.45">
      <c r="A17" s="3" t="s">
        <v>48</v>
      </c>
      <c r="C17" s="2">
        <f t="shared" si="0"/>
        <v>16</v>
      </c>
      <c r="D17" t="s">
        <v>17</v>
      </c>
      <c r="E17" t="s">
        <v>37</v>
      </c>
    </row>
    <row r="18" spans="1:5" x14ac:dyDescent="0.45">
      <c r="A18" s="3" t="s">
        <v>87</v>
      </c>
      <c r="C18" s="2">
        <f t="shared" si="0"/>
        <v>17</v>
      </c>
      <c r="D18" t="s">
        <v>18</v>
      </c>
      <c r="E18" t="s">
        <v>38</v>
      </c>
    </row>
    <row r="19" spans="1:5" x14ac:dyDescent="0.45">
      <c r="A19" s="3" t="s">
        <v>39</v>
      </c>
      <c r="C19" s="2">
        <f t="shared" si="0"/>
        <v>18</v>
      </c>
      <c r="D19" t="s">
        <v>19</v>
      </c>
      <c r="E19" t="s">
        <v>39</v>
      </c>
    </row>
    <row r="20" spans="1:5" x14ac:dyDescent="0.45">
      <c r="A20" s="3" t="s">
        <v>37</v>
      </c>
      <c r="C20" s="2">
        <f t="shared" si="0"/>
        <v>19</v>
      </c>
      <c r="D20" t="s">
        <v>20</v>
      </c>
      <c r="E20" t="s">
        <v>40</v>
      </c>
    </row>
    <row r="21" spans="1:5" x14ac:dyDescent="0.45">
      <c r="A21" s="3" t="s">
        <v>41</v>
      </c>
      <c r="C21" s="2">
        <f t="shared" si="0"/>
        <v>20</v>
      </c>
      <c r="D21" t="s">
        <v>21</v>
      </c>
      <c r="E21" t="s">
        <v>41</v>
      </c>
    </row>
    <row r="22" spans="1:5" x14ac:dyDescent="0.45">
      <c r="A22" s="3" t="s">
        <v>46</v>
      </c>
      <c r="C22" s="2">
        <f t="shared" si="0"/>
        <v>21</v>
      </c>
      <c r="D22" t="s">
        <v>22</v>
      </c>
      <c r="E22" t="s">
        <v>42</v>
      </c>
    </row>
    <row r="23" spans="1:5" x14ac:dyDescent="0.45">
      <c r="A23" s="3" t="s">
        <v>40</v>
      </c>
      <c r="C23" s="2">
        <f t="shared" si="0"/>
        <v>22</v>
      </c>
      <c r="D23" t="s">
        <v>23</v>
      </c>
      <c r="E23" t="s">
        <v>55</v>
      </c>
    </row>
    <row r="24" spans="1:5" x14ac:dyDescent="0.45">
      <c r="A24" s="3" t="s">
        <v>80</v>
      </c>
      <c r="C24" s="2">
        <f t="shared" si="0"/>
        <v>23</v>
      </c>
      <c r="D24" t="s">
        <v>24</v>
      </c>
      <c r="E24" t="s">
        <v>43</v>
      </c>
    </row>
    <row r="25" spans="1:5" x14ac:dyDescent="0.45">
      <c r="A25" s="3" t="s">
        <v>83</v>
      </c>
      <c r="C25" s="2">
        <f t="shared" si="0"/>
        <v>24</v>
      </c>
      <c r="D25" t="s">
        <v>25</v>
      </c>
      <c r="E25" t="s">
        <v>44</v>
      </c>
    </row>
    <row r="26" spans="1:5" ht="17.5" thickBot="1" x14ac:dyDescent="0.5">
      <c r="A26" s="4" t="s">
        <v>86</v>
      </c>
      <c r="C26" s="2">
        <f t="shared" si="0"/>
        <v>25</v>
      </c>
      <c r="D26" t="s">
        <v>26</v>
      </c>
      <c r="E26" t="s">
        <v>45</v>
      </c>
    </row>
    <row r="27" spans="1:5" x14ac:dyDescent="0.45">
      <c r="C27" s="2">
        <f t="shared" si="0"/>
        <v>26</v>
      </c>
      <c r="E27" t="s">
        <v>46</v>
      </c>
    </row>
    <row r="28" spans="1:5" x14ac:dyDescent="0.45">
      <c r="A28" s="1"/>
      <c r="C28" s="2">
        <f t="shared" si="0"/>
        <v>27</v>
      </c>
      <c r="E28" t="s">
        <v>47</v>
      </c>
    </row>
    <row r="29" spans="1:5" x14ac:dyDescent="0.45">
      <c r="C29" s="2">
        <f t="shared" si="0"/>
        <v>28</v>
      </c>
      <c r="E29" t="s">
        <v>48</v>
      </c>
    </row>
    <row r="30" spans="1:5" x14ac:dyDescent="0.45">
      <c r="C30" s="2">
        <f t="shared" si="0"/>
        <v>29</v>
      </c>
      <c r="E30" t="s">
        <v>49</v>
      </c>
    </row>
    <row r="31" spans="1:5" x14ac:dyDescent="0.45">
      <c r="A31" t="s">
        <v>71</v>
      </c>
      <c r="C31" s="2">
        <f t="shared" si="0"/>
        <v>30</v>
      </c>
      <c r="E31" t="s">
        <v>50</v>
      </c>
    </row>
    <row r="32" spans="1:5" x14ac:dyDescent="0.45">
      <c r="C32" s="2">
        <f t="shared" si="0"/>
        <v>31</v>
      </c>
      <c r="E32" t="s">
        <v>51</v>
      </c>
    </row>
    <row r="33" spans="1:6" x14ac:dyDescent="0.45">
      <c r="C33" s="2">
        <f t="shared" si="0"/>
        <v>32</v>
      </c>
      <c r="E33" t="s">
        <v>52</v>
      </c>
    </row>
    <row r="34" spans="1:6" x14ac:dyDescent="0.45">
      <c r="A34" t="str">
        <f>_xlfn.CONCAT("""",A2,""",")</f>
        <v>"5일 이상 집에서 안나가도 크게 불편한 것이 없다",</v>
      </c>
      <c r="C34" s="2">
        <f t="shared" si="0"/>
        <v>33</v>
      </c>
      <c r="E34" t="s">
        <v>53</v>
      </c>
    </row>
    <row r="35" spans="1:6" x14ac:dyDescent="0.45">
      <c r="A35" t="str">
        <f t="shared" ref="A35:A61" si="1">_xlfn.CONCAT("""",A3,""",")</f>
        <v>"같이 밤 새면서 노는 친구가 있다",</v>
      </c>
      <c r="C35" s="2" t="s">
        <v>70</v>
      </c>
      <c r="D35">
        <f>SUBTOTAL(103,데이터_시트[인벤 게시글])</f>
        <v>25</v>
      </c>
      <c r="E35">
        <f>SUBTOTAL(103,데이터_시트[심콩])</f>
        <v>30</v>
      </c>
      <c r="F35">
        <f>SUBTOTAL(103,데이터_시트[플레이리스트'[연플리4 티저']])</f>
        <v>11</v>
      </c>
    </row>
    <row r="36" spans="1:6" x14ac:dyDescent="0.45">
      <c r="A36" t="str">
        <f t="shared" si="1"/>
        <v>"개파 종파 올참",</v>
      </c>
    </row>
    <row r="37" spans="1:6" x14ac:dyDescent="0.45">
      <c r="A37" t="str">
        <f t="shared" si="1"/>
        <v>"누군가 먼저 '뭐해?'라고 메시지가 온 적이 많다",</v>
      </c>
    </row>
    <row r="38" spans="1:6" x14ac:dyDescent="0.45">
      <c r="A38" t="str">
        <f t="shared" si="1"/>
        <v>"단톡에서 말해도 반응이 없을까봐 썼다 지운 적이 많다",</v>
      </c>
    </row>
    <row r="39" spans="1:6" x14ac:dyDescent="0.45">
      <c r="A39" t="str">
        <f t="shared" si="1"/>
        <v>"단톡에서 본인이 말 안해도 단톡이 잘 돌아간다",</v>
      </c>
    </row>
    <row r="40" spans="1:6" x14ac:dyDescent="0.45">
      <c r="A40" t="str">
        <f t="shared" si="1"/>
        <v>"대리출석 해 줄 친구 있음",</v>
      </c>
    </row>
    <row r="41" spans="1:6" x14ac:dyDescent="0.45">
      <c r="A41" t="str">
        <f t="shared" si="1"/>
        <v>"미팅 나가서 귓속말 게임해 봄",</v>
      </c>
    </row>
    <row r="42" spans="1:6" x14ac:dyDescent="0.45">
      <c r="A42" t="str">
        <f t="shared" si="1"/>
        <v>"빼빼로데이, 화이트데이, 발렌타인데이에 받아본 적이 없다",</v>
      </c>
    </row>
    <row r="43" spans="1:6" x14ac:dyDescent="0.45">
      <c r="A43" t="str">
        <f t="shared" si="1"/>
        <v>"시험 공부는 친구들이랑 학교에서",</v>
      </c>
    </row>
    <row r="44" spans="1:6" x14ac:dyDescent="0.45">
      <c r="A44" t="str">
        <f t="shared" si="1"/>
        <v>"시험 기간에 술 모임 가져 봄",</v>
      </c>
    </row>
    <row r="45" spans="1:6" x14ac:dyDescent="0.45">
      <c r="A45" t="str">
        <f t="shared" si="1"/>
        <v>"아는 술게임 5가지 이상",</v>
      </c>
    </row>
    <row r="46" spans="1:6" x14ac:dyDescent="0.45">
      <c r="A46" t="str">
        <f t="shared" si="1"/>
        <v>"옷장에 옷의 스타일이 4종류 이상이다",</v>
      </c>
    </row>
    <row r="47" spans="1:6" x14ac:dyDescent="0.45">
      <c r="A47" t="str">
        <f t="shared" si="1"/>
        <v>"워터파크를 가본 적 있다",</v>
      </c>
    </row>
    <row r="48" spans="1:6" x14ac:dyDescent="0.45">
      <c r="A48" t="str">
        <f t="shared" si="1"/>
        <v>"이성이 포함된 술자리를 연 5회 이상 한다",</v>
      </c>
    </row>
    <row r="49" spans="1:1" x14ac:dyDescent="0.45">
      <c r="A49" t="str">
        <f t="shared" si="1"/>
        <v>"인싸들이 즐겁게 노는것을 보고 내가 그래도 쟤들보다는 낫다고 생각한 적이 있다",</v>
      </c>
    </row>
    <row r="50" spans="1:1" x14ac:dyDescent="0.45">
      <c r="A50" t="str">
        <f t="shared" si="1"/>
        <v>"자기소개서 특기에 쓸 말이 딱히 없다",</v>
      </c>
    </row>
    <row r="51" spans="1:1" x14ac:dyDescent="0.45">
      <c r="A51" t="str">
        <f t="shared" si="1"/>
        <v>"정말 친한 친구가 3명 이상 있다",</v>
      </c>
    </row>
    <row r="52" spans="1:1" x14ac:dyDescent="0.45">
      <c r="A52" t="str">
        <f t="shared" si="1"/>
        <v>"축제를 여러사람과 가본 적 있다",</v>
      </c>
    </row>
    <row r="53" spans="1:1" x14ac:dyDescent="0.45">
      <c r="A53" t="str">
        <f t="shared" si="1"/>
        <v>"친구가 집에와서 자고 간 적이 있다",</v>
      </c>
    </row>
    <row r="54" spans="1:1" x14ac:dyDescent="0.45">
      <c r="A54" t="str">
        <f>_xlfn.CONCAT("""",A22,""",")</f>
        <v>"친한 이성(형,오빠,동생)가 10명 이상 있다",</v>
      </c>
    </row>
    <row r="55" spans="1:1" x14ac:dyDescent="0.45">
      <c r="A55" t="str">
        <f t="shared" si="1"/>
        <v>"하루에 한번 쯤은 친구에게 전화가 걸려온다",</v>
      </c>
    </row>
    <row r="56" spans="1:1" x14ac:dyDescent="0.45">
      <c r="A56" t="str">
        <f t="shared" si="1"/>
        <v>"학식에서 혼밥한 적 없음",</v>
      </c>
    </row>
    <row r="57" spans="1:1" x14ac:dyDescent="0.45">
      <c r="A57" t="str">
        <f t="shared" si="1"/>
        <v>"한 달에 술 약속, 밥 약속 2회 이상 있다",</v>
      </c>
    </row>
    <row r="58" spans="1:1" x14ac:dyDescent="0.45">
      <c r="A58" t="str">
        <f t="shared" si="1"/>
        <v>"한번 이상 연애를 해봤다",</v>
      </c>
    </row>
  </sheetData>
  <sortState xmlns:xlrd2="http://schemas.microsoft.com/office/spreadsheetml/2017/richdata2" ref="A2:A26">
    <sortCondition ref="A1"/>
  </sortState>
  <phoneticPr fontId="1" type="noConversion"/>
  <conditionalFormatting sqref="D2:F34">
    <cfRule type="expression" dxfId="2" priority="1">
      <formula>COUNTIF(등록리스트, D2)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단추4_Click">
                <anchor moveWithCells="1" sizeWithCells="1">
                  <from>
                    <xdr:col>0</xdr:col>
                    <xdr:colOff>812800</xdr:colOff>
                    <xdr:row>26</xdr:row>
                    <xdr:rowOff>76200</xdr:rowOff>
                  </from>
                  <to>
                    <xdr:col>0</xdr:col>
                    <xdr:colOff>1746250</xdr:colOff>
                    <xdr:row>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__list">
                <anchor moveWithCells="1" sizeWithCells="1">
                  <from>
                    <xdr:col>0</xdr:col>
                    <xdr:colOff>2317750</xdr:colOff>
                    <xdr:row>26</xdr:row>
                    <xdr:rowOff>76200</xdr:rowOff>
                  </from>
                  <to>
                    <xdr:col>0</xdr:col>
                    <xdr:colOff>3251200</xdr:colOff>
                    <xdr:row>28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8EF7A-E475-4A51-BA62-37A574DC6A88}">
  <sheetPr codeName="Sheet2"/>
  <dimension ref="A1:A4"/>
  <sheetViews>
    <sheetView workbookViewId="0">
      <selection activeCell="A11" sqref="A11"/>
    </sheetView>
  </sheetViews>
  <sheetFormatPr defaultRowHeight="17" x14ac:dyDescent="0.45"/>
  <cols>
    <col min="1" max="1" width="41.4140625" bestFit="1" customWidth="1"/>
  </cols>
  <sheetData>
    <row r="1" spans="1:1" x14ac:dyDescent="0.45">
      <c r="A1" s="6" t="s">
        <v>74</v>
      </c>
    </row>
    <row r="2" spans="1:1" x14ac:dyDescent="0.45">
      <c r="A2" t="s">
        <v>72</v>
      </c>
    </row>
    <row r="3" spans="1:1" x14ac:dyDescent="0.45">
      <c r="A3" t="s">
        <v>73</v>
      </c>
    </row>
    <row r="4" spans="1:1" x14ac:dyDescent="0.45">
      <c r="A4" t="s">
        <v>75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D45B82-0E33-4B98-A4FE-2907092FBE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사용 중</vt:lpstr>
      <vt:lpstr>Del-Upload_Log</vt:lpstr>
      <vt:lpstr>등록리스트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이재현</dc:creator>
  <cp:lastModifiedBy>이재현</cp:lastModifiedBy>
  <dcterms:created xsi:type="dcterms:W3CDTF">2020-05-07T08:47:03Z</dcterms:created>
  <dcterms:modified xsi:type="dcterms:W3CDTF">2020-05-08T15:14:18Z</dcterms:modified>
</cp:coreProperties>
</file>